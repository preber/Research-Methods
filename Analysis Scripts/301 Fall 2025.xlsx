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ber\Dropbox\Teaching\301\"/>
    </mc:Choice>
  </mc:AlternateContent>
  <xr:revisionPtr revIDLastSave="0" documentId="13_ncr:1_{4BA08D0E-5E00-4993-B857-9C44BF59F20C}" xr6:coauthVersionLast="47" xr6:coauthVersionMax="47" xr10:uidLastSave="{00000000-0000-0000-0000-000000000000}"/>
  <bookViews>
    <workbookView xWindow="20" yWindow="380" windowWidth="19180" windowHeight="10200" activeTab="2" xr2:uid="{8D79E482-5AD1-4B37-A4A8-679B06C92DCF}"/>
  </bookViews>
  <sheets>
    <sheet name="Syllabus" sheetId="1" r:id="rId1"/>
    <sheet name="Sec20" sheetId="2" r:id="rId2"/>
    <sheet name="Sheet1" sheetId="4" r:id="rId3"/>
    <sheet name="Sec21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3" l="1"/>
  <c r="O4" i="3"/>
  <c r="P4" i="3" s="1"/>
  <c r="R21" i="2"/>
  <c r="O4" i="2"/>
  <c r="O6" i="2" l="1"/>
  <c r="P6" i="2" s="1"/>
  <c r="O23" i="2"/>
  <c r="O19" i="2"/>
  <c r="O20" i="2"/>
  <c r="P23" i="2" s="1"/>
  <c r="O9" i="2"/>
  <c r="O10" i="2"/>
  <c r="O14" i="2"/>
  <c r="O8" i="2"/>
  <c r="P4" i="2"/>
  <c r="O7" i="2"/>
  <c r="O24" i="2"/>
  <c r="P13" i="2" s="1"/>
  <c r="O12" i="2"/>
  <c r="O17" i="2"/>
  <c r="O13" i="2"/>
  <c r="O22" i="2"/>
  <c r="O11" i="2"/>
  <c r="O5" i="2"/>
  <c r="O21" i="2"/>
  <c r="O16" i="2"/>
  <c r="O15" i="2"/>
  <c r="O26" i="2"/>
  <c r="P26" i="2" s="1"/>
  <c r="O18" i="2"/>
  <c r="O25" i="2"/>
  <c r="O6" i="3"/>
  <c r="P6" i="3" s="1"/>
  <c r="O11" i="3"/>
  <c r="P11" i="3" s="1"/>
  <c r="O10" i="3"/>
  <c r="P10" i="3" s="1"/>
  <c r="O14" i="3"/>
  <c r="P14" i="3" s="1"/>
  <c r="O13" i="3"/>
  <c r="P13" i="3" s="1"/>
  <c r="O12" i="3"/>
  <c r="P12" i="3" s="1"/>
  <c r="O5" i="3"/>
  <c r="P5" i="3" s="1"/>
  <c r="O7" i="3"/>
  <c r="P7" i="3" s="1"/>
  <c r="O8" i="3"/>
  <c r="P8" i="3" s="1"/>
  <c r="O9" i="3"/>
  <c r="P9" i="3" s="1"/>
  <c r="R13" i="3"/>
  <c r="R12" i="3"/>
  <c r="R11" i="3"/>
  <c r="R10" i="3"/>
  <c r="R9" i="3"/>
  <c r="R8" i="3"/>
  <c r="R7" i="3"/>
  <c r="R6" i="3"/>
  <c r="R5" i="3"/>
  <c r="R4" i="3"/>
  <c r="R26" i="2"/>
  <c r="R25" i="2"/>
  <c r="R24" i="2"/>
  <c r="R23" i="2"/>
  <c r="R22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P16" i="2" l="1"/>
  <c r="P21" i="2"/>
  <c r="P11" i="2"/>
  <c r="P19" i="2"/>
  <c r="P8" i="2"/>
  <c r="P15" i="2"/>
  <c r="P10" i="2"/>
  <c r="P7" i="2"/>
  <c r="P5" i="2"/>
  <c r="P22" i="2"/>
  <c r="P17" i="2"/>
  <c r="P14" i="2"/>
  <c r="P9" i="2"/>
  <c r="P18" i="2"/>
  <c r="P25" i="2"/>
  <c r="P20" i="2"/>
  <c r="P24" i="2"/>
  <c r="P12" i="2"/>
</calcChain>
</file>

<file path=xl/sharedStrings.xml><?xml version="1.0" encoding="utf-8"?>
<sst xmlns="http://schemas.openxmlformats.org/spreadsheetml/2006/main" count="202" uniqueCount="119">
  <si>
    <t>Experiment 1</t>
  </si>
  <si>
    <t>Measurement, DV</t>
  </si>
  <si>
    <t>Experiment Control, IV</t>
  </si>
  <si>
    <t>Rigorous procedure</t>
  </si>
  <si>
    <t>Within participants design</t>
  </si>
  <si>
    <t>Ethics 1</t>
  </si>
  <si>
    <t>Exam 1</t>
  </si>
  <si>
    <t>Factorial design</t>
  </si>
  <si>
    <t>Main effects and interactions</t>
  </si>
  <si>
    <t>Main efects and interactions</t>
  </si>
  <si>
    <t>Participant sampling, generalizablity</t>
  </si>
  <si>
    <t>Statistics 2: ANOVA</t>
  </si>
  <si>
    <t>Review of APA writing</t>
  </si>
  <si>
    <t>Developing a research proposal</t>
  </si>
  <si>
    <t>Non-experimental design</t>
  </si>
  <si>
    <t>Surveys</t>
  </si>
  <si>
    <t>TA presentations/Mythbusters</t>
  </si>
  <si>
    <t>Statistics 3: correlation and chi2</t>
  </si>
  <si>
    <t>Ethics 2: Responsible Conduct of Research</t>
  </si>
  <si>
    <t>Exam 2</t>
  </si>
  <si>
    <t>Project presentations</t>
  </si>
  <si>
    <t>W</t>
  </si>
  <si>
    <t>F</t>
  </si>
  <si>
    <t>M</t>
  </si>
  <si>
    <t>Case studies (Development, Neurpsychology)</t>
  </si>
  <si>
    <t>---</t>
  </si>
  <si>
    <t>Chapter</t>
  </si>
  <si>
    <t>Op Man</t>
  </si>
  <si>
    <t>External</t>
  </si>
  <si>
    <t>Readings before class</t>
  </si>
  <si>
    <t>Experiment 1 background</t>
  </si>
  <si>
    <t>Ovale &amp; Fresa</t>
  </si>
  <si>
    <t>Stephens et al. (2009)</t>
  </si>
  <si>
    <t>Plant et al (2009)</t>
  </si>
  <si>
    <t>Assefi &amp; Garry (2003)</t>
  </si>
  <si>
    <t>Craik &amp; Lockhart (1972)</t>
  </si>
  <si>
    <t>Craik (2000)</t>
  </si>
  <si>
    <t>Craik &amp; Tulving (1975)</t>
  </si>
  <si>
    <t>Levav &amp; Argo (2010)</t>
  </si>
  <si>
    <t>1,2</t>
  </si>
  <si>
    <t>Statistics 1: t-test</t>
  </si>
  <si>
    <t>Scientific report writing</t>
  </si>
  <si>
    <t>Writing</t>
  </si>
  <si>
    <t>Exp 2 design</t>
  </si>
  <si>
    <t>Exp2 data due</t>
  </si>
  <si>
    <t>Exp2 analysis in class</t>
  </si>
  <si>
    <t>Exp 2 report due</t>
  </si>
  <si>
    <t>Exp 1 report due</t>
  </si>
  <si>
    <t>Rigor, reliability and effect sizes</t>
  </si>
  <si>
    <t>Final projects groups and initial ideas</t>
  </si>
  <si>
    <t>Final project full proposals</t>
  </si>
  <si>
    <t>Final project approved proposals</t>
  </si>
  <si>
    <t>Final project reports due last day of finals week</t>
  </si>
  <si>
    <t>Applied research</t>
  </si>
  <si>
    <t>(Thanksgiving week, no class)</t>
  </si>
  <si>
    <t>Qualitative research</t>
  </si>
  <si>
    <t>Assignment</t>
  </si>
  <si>
    <t>Read Chapter 3, answer Qs 1, 2, &amp; 5 on p. 62</t>
  </si>
  <si>
    <t>Read Chapter 2, answer Qs 1 and 2 on p. 40</t>
  </si>
  <si>
    <t>Enter completion code at completion</t>
  </si>
  <si>
    <t>Read Chapter 4, answer Qs 1-4 on p. 82</t>
  </si>
  <si>
    <t>Read Chapter 5, answer Qs. 1-6 on p. 98</t>
  </si>
  <si>
    <t>Operations Manual, Chapter 3 (Exp 1 background), Qs 1-5 on p. 14, 6-7 on p. 19</t>
  </si>
  <si>
    <t>Read Chapter 6, answer Qs 1-4 on p. 119; Read OM Chapter 3 (Exp1 t-test), complete data analysis following guidelines on p. 28</t>
  </si>
  <si>
    <t>Read Chapter 7, answer Qs. 1-5 on p. 142-143</t>
  </si>
  <si>
    <t>Read Chapter 8, answer Qs. 1-4 on p. 160</t>
  </si>
  <si>
    <t>Read Chapter 9, answer Qs. 1-6 on p. 189</t>
  </si>
  <si>
    <t>Alberg, Arawen</t>
  </si>
  <si>
    <t>Altes, Hillary</t>
  </si>
  <si>
    <t>Ametovski, Jasmine</t>
  </si>
  <si>
    <t>Belbot, Maggie</t>
  </si>
  <si>
    <t>Bomfim, Barbara</t>
  </si>
  <si>
    <t>Brill-Forman, Clarissa</t>
  </si>
  <si>
    <t>Chen, Fatong</t>
  </si>
  <si>
    <t>Gelonese, Joseph</t>
  </si>
  <si>
    <t>Golub, Avery</t>
  </si>
  <si>
    <t>Griffin, Madilynn</t>
  </si>
  <si>
    <t>Hoxha, Salma</t>
  </si>
  <si>
    <t>Jakka, Pritika</t>
  </si>
  <si>
    <t>Kang, Hannah</t>
  </si>
  <si>
    <t>Kim, Lauren</t>
  </si>
  <si>
    <t>Klibanoff, Harper</t>
  </si>
  <si>
    <t>Minorik, Andrew</t>
  </si>
  <si>
    <t>Norkett, Megan</t>
  </si>
  <si>
    <t>Pierson, Abby</t>
  </si>
  <si>
    <t>Sappern, Tobey</t>
  </si>
  <si>
    <t>Taylor, Kara</t>
  </si>
  <si>
    <t>Wissel, Lydia</t>
  </si>
  <si>
    <t>Exam</t>
  </si>
  <si>
    <t>Read Chapter 10</t>
  </si>
  <si>
    <t>Reach Chapter 11</t>
  </si>
  <si>
    <t>Practice exercises &amp; Exp 2 analysis</t>
  </si>
  <si>
    <t>(outside reading)</t>
  </si>
  <si>
    <t>OM Chapter 7</t>
  </si>
  <si>
    <t>Chapter 12</t>
  </si>
  <si>
    <t>Chapter 13</t>
  </si>
  <si>
    <t>(Stephens et al)</t>
  </si>
  <si>
    <t>Chapter 14</t>
  </si>
  <si>
    <t>Chapter 15</t>
  </si>
  <si>
    <t>Chapter 16</t>
  </si>
  <si>
    <t>Chapter 17</t>
  </si>
  <si>
    <t>Chapter 18</t>
  </si>
  <si>
    <t>Zhang, Jonathan</t>
  </si>
  <si>
    <t>Brown, Leanna</t>
  </si>
  <si>
    <t>Chavez, Marcos</t>
  </si>
  <si>
    <t>Choy, Hannah</t>
  </si>
  <si>
    <t>Jasser, Keegan</t>
  </si>
  <si>
    <t>Klenz, Annelise</t>
  </si>
  <si>
    <t>Menon, Rafe</t>
  </si>
  <si>
    <t>Pearson, Abby</t>
  </si>
  <si>
    <t>Wang, Frank</t>
  </si>
  <si>
    <t>Zhang, Dora</t>
  </si>
  <si>
    <t>Zhou, Chris</t>
  </si>
  <si>
    <t>Total</t>
  </si>
  <si>
    <t>Sec 21</t>
  </si>
  <si>
    <t>Sec 20</t>
  </si>
  <si>
    <t>Bornstein-Sturge, Josh</t>
  </si>
  <si>
    <t>Pesantez, Gabriela</t>
  </si>
  <si>
    <t>zoom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</si>
</sst>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i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" fontId="0" fillId="0" borderId="0" xfId="0" applyNumberFormat="1"/>
    <xf numFmtId="0" fontId="0" fillId="0" borderId="0" xfId="0" quotePrefix="1"/>
    <xf numFmtId="0" fontId="0" fillId="0" borderId="0" xfId="0" applyAlignment="1">
      <alignment horizontal="right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4DAF6-B7AA-4D05-88A0-7A984BCDBD32}">
  <dimension ref="A1:R34"/>
  <sheetViews>
    <sheetView workbookViewId="0">
      <selection activeCell="D11" sqref="D11"/>
    </sheetView>
  </sheetViews>
  <sheetFormatPr defaultRowHeight="14.5" x14ac:dyDescent="0.35"/>
  <sheetData>
    <row r="1" spans="1:18" x14ac:dyDescent="0.35">
      <c r="I1" t="s">
        <v>29</v>
      </c>
      <c r="L1" t="s">
        <v>42</v>
      </c>
      <c r="R1" t="s">
        <v>56</v>
      </c>
    </row>
    <row r="2" spans="1:18" x14ac:dyDescent="0.35">
      <c r="I2" t="s">
        <v>26</v>
      </c>
      <c r="K2" t="s">
        <v>27</v>
      </c>
      <c r="M2" t="s">
        <v>28</v>
      </c>
    </row>
    <row r="3" spans="1:18" ht="15.5" x14ac:dyDescent="0.35">
      <c r="A3">
        <v>1</v>
      </c>
      <c r="B3" s="1">
        <v>45917</v>
      </c>
      <c r="C3" t="s">
        <v>21</v>
      </c>
      <c r="D3" t="s">
        <v>0</v>
      </c>
      <c r="I3" s="2" t="s">
        <v>25</v>
      </c>
      <c r="R3" s="4" t="s">
        <v>59</v>
      </c>
    </row>
    <row r="4" spans="1:18" ht="15.5" x14ac:dyDescent="0.35">
      <c r="A4">
        <f>+A3+1</f>
        <v>2</v>
      </c>
      <c r="B4" s="1">
        <v>45919</v>
      </c>
      <c r="C4" t="s">
        <v>22</v>
      </c>
      <c r="D4" t="s">
        <v>1</v>
      </c>
      <c r="I4" s="3" t="s">
        <v>39</v>
      </c>
      <c r="K4">
        <v>1</v>
      </c>
      <c r="M4" t="s">
        <v>35</v>
      </c>
      <c r="P4" t="s">
        <v>36</v>
      </c>
      <c r="R4" s="4" t="s">
        <v>58</v>
      </c>
    </row>
    <row r="5" spans="1:18" ht="15.5" x14ac:dyDescent="0.35">
      <c r="A5">
        <f t="shared" ref="A5:A32" si="0">+A4+1</f>
        <v>3</v>
      </c>
      <c r="B5" s="1">
        <v>45922</v>
      </c>
      <c r="C5" t="s">
        <v>23</v>
      </c>
      <c r="D5" t="s">
        <v>2</v>
      </c>
      <c r="I5">
        <v>3</v>
      </c>
      <c r="R5" s="4" t="s">
        <v>57</v>
      </c>
    </row>
    <row r="6" spans="1:18" ht="15.5" x14ac:dyDescent="0.35">
      <c r="A6">
        <f t="shared" si="0"/>
        <v>4</v>
      </c>
      <c r="B6" s="1">
        <v>45924</v>
      </c>
      <c r="C6" t="s">
        <v>21</v>
      </c>
      <c r="D6" t="s">
        <v>3</v>
      </c>
      <c r="I6">
        <v>4</v>
      </c>
      <c r="R6" s="5" t="s">
        <v>60</v>
      </c>
    </row>
    <row r="7" spans="1:18" ht="15.5" x14ac:dyDescent="0.35">
      <c r="A7">
        <f t="shared" si="0"/>
        <v>5</v>
      </c>
      <c r="B7" s="1">
        <v>45926</v>
      </c>
      <c r="C7" t="s">
        <v>22</v>
      </c>
      <c r="D7" t="s">
        <v>10</v>
      </c>
      <c r="I7">
        <v>5</v>
      </c>
      <c r="R7" s="5" t="s">
        <v>61</v>
      </c>
    </row>
    <row r="8" spans="1:18" ht="15.5" x14ac:dyDescent="0.35">
      <c r="A8">
        <f t="shared" si="0"/>
        <v>6</v>
      </c>
      <c r="B8" s="1">
        <v>45929</v>
      </c>
      <c r="C8" t="s">
        <v>23</v>
      </c>
      <c r="D8" t="s">
        <v>30</v>
      </c>
      <c r="K8">
        <v>2</v>
      </c>
      <c r="M8" t="s">
        <v>37</v>
      </c>
      <c r="R8" s="5" t="s">
        <v>62</v>
      </c>
    </row>
    <row r="9" spans="1:18" ht="15.5" x14ac:dyDescent="0.35">
      <c r="A9">
        <f t="shared" si="0"/>
        <v>7</v>
      </c>
      <c r="B9" s="1">
        <v>45931</v>
      </c>
      <c r="C9" t="s">
        <v>21</v>
      </c>
      <c r="D9" t="s">
        <v>40</v>
      </c>
      <c r="I9">
        <v>6</v>
      </c>
      <c r="K9">
        <v>3</v>
      </c>
      <c r="R9" s="4" t="s">
        <v>63</v>
      </c>
    </row>
    <row r="10" spans="1:18" ht="15.5" x14ac:dyDescent="0.35">
      <c r="A10">
        <f t="shared" si="0"/>
        <v>8</v>
      </c>
      <c r="B10" s="1">
        <v>45933</v>
      </c>
      <c r="C10" t="s">
        <v>22</v>
      </c>
      <c r="D10" t="s">
        <v>41</v>
      </c>
      <c r="I10">
        <v>7</v>
      </c>
      <c r="R10" s="5" t="s">
        <v>64</v>
      </c>
    </row>
    <row r="11" spans="1:18" ht="15.5" x14ac:dyDescent="0.35">
      <c r="A11">
        <f t="shared" si="0"/>
        <v>9</v>
      </c>
      <c r="B11" s="1">
        <v>45936</v>
      </c>
      <c r="C11" t="s">
        <v>23</v>
      </c>
      <c r="D11" t="s">
        <v>4</v>
      </c>
      <c r="I11">
        <v>8</v>
      </c>
      <c r="R11" s="5" t="s">
        <v>65</v>
      </c>
    </row>
    <row r="12" spans="1:18" ht="15.5" x14ac:dyDescent="0.35">
      <c r="A12">
        <f t="shared" si="0"/>
        <v>10</v>
      </c>
      <c r="B12" s="1">
        <v>45938</v>
      </c>
      <c r="C12" t="s">
        <v>21</v>
      </c>
      <c r="D12" t="s">
        <v>5</v>
      </c>
      <c r="I12">
        <v>9</v>
      </c>
      <c r="L12" t="s">
        <v>47</v>
      </c>
      <c r="R12" s="5" t="s">
        <v>66</v>
      </c>
    </row>
    <row r="13" spans="1:18" ht="15.5" x14ac:dyDescent="0.35">
      <c r="A13">
        <f t="shared" si="0"/>
        <v>11</v>
      </c>
      <c r="B13" s="1">
        <v>45940</v>
      </c>
      <c r="C13" t="s">
        <v>22</v>
      </c>
      <c r="D13" t="s">
        <v>6</v>
      </c>
      <c r="R13" s="6" t="s">
        <v>88</v>
      </c>
    </row>
    <row r="14" spans="1:18" ht="15.5" x14ac:dyDescent="0.35">
      <c r="A14">
        <f t="shared" si="0"/>
        <v>12</v>
      </c>
      <c r="B14" s="1">
        <v>45943</v>
      </c>
      <c r="C14" t="s">
        <v>23</v>
      </c>
      <c r="D14" t="s">
        <v>7</v>
      </c>
      <c r="I14">
        <v>10</v>
      </c>
      <c r="R14" s="6" t="s">
        <v>89</v>
      </c>
    </row>
    <row r="15" spans="1:18" ht="15.5" x14ac:dyDescent="0.35">
      <c r="A15">
        <f t="shared" si="0"/>
        <v>13</v>
      </c>
      <c r="B15" s="1">
        <v>45945</v>
      </c>
      <c r="C15" t="s">
        <v>21</v>
      </c>
      <c r="D15" t="s">
        <v>8</v>
      </c>
      <c r="I15">
        <v>11</v>
      </c>
      <c r="L15" t="s">
        <v>43</v>
      </c>
      <c r="P15" t="s">
        <v>31</v>
      </c>
      <c r="R15" s="6" t="s">
        <v>90</v>
      </c>
    </row>
    <row r="16" spans="1:18" ht="15.5" x14ac:dyDescent="0.35">
      <c r="A16">
        <f t="shared" si="0"/>
        <v>14</v>
      </c>
      <c r="B16" s="1">
        <v>45947</v>
      </c>
      <c r="C16" t="s">
        <v>22</v>
      </c>
      <c r="D16" t="s">
        <v>9</v>
      </c>
      <c r="P16" t="s">
        <v>34</v>
      </c>
      <c r="R16" s="6" t="s">
        <v>92</v>
      </c>
    </row>
    <row r="17" spans="1:18" ht="15.5" x14ac:dyDescent="0.35">
      <c r="A17">
        <f t="shared" si="0"/>
        <v>15</v>
      </c>
      <c r="B17" s="1">
        <v>45950</v>
      </c>
      <c r="C17" t="s">
        <v>23</v>
      </c>
      <c r="D17" t="s">
        <v>11</v>
      </c>
      <c r="I17">
        <v>11</v>
      </c>
      <c r="L17" t="s">
        <v>44</v>
      </c>
      <c r="P17" t="s">
        <v>38</v>
      </c>
      <c r="R17" s="6" t="s">
        <v>91</v>
      </c>
    </row>
    <row r="18" spans="1:18" ht="15.5" x14ac:dyDescent="0.35">
      <c r="A18">
        <f t="shared" si="0"/>
        <v>16</v>
      </c>
      <c r="B18" s="1">
        <v>45952</v>
      </c>
      <c r="C18" t="s">
        <v>21</v>
      </c>
      <c r="D18" t="s">
        <v>48</v>
      </c>
      <c r="K18">
        <v>6</v>
      </c>
      <c r="L18" t="s">
        <v>45</v>
      </c>
      <c r="R18" s="6" t="s">
        <v>92</v>
      </c>
    </row>
    <row r="19" spans="1:18" ht="15.5" x14ac:dyDescent="0.35">
      <c r="A19">
        <f t="shared" si="0"/>
        <v>17</v>
      </c>
      <c r="B19" s="1">
        <v>45954</v>
      </c>
      <c r="C19" t="s">
        <v>22</v>
      </c>
      <c r="D19" t="s">
        <v>12</v>
      </c>
      <c r="R19" s="6" t="s">
        <v>92</v>
      </c>
    </row>
    <row r="20" spans="1:18" ht="15.5" x14ac:dyDescent="0.35">
      <c r="A20">
        <f t="shared" si="0"/>
        <v>18</v>
      </c>
      <c r="B20" s="1">
        <v>45957</v>
      </c>
      <c r="C20" t="s">
        <v>23</v>
      </c>
      <c r="D20" t="s">
        <v>13</v>
      </c>
      <c r="K20">
        <v>7</v>
      </c>
      <c r="R20" s="6" t="s">
        <v>93</v>
      </c>
    </row>
    <row r="21" spans="1:18" ht="15.5" x14ac:dyDescent="0.35">
      <c r="A21">
        <f t="shared" si="0"/>
        <v>19</v>
      </c>
      <c r="B21" s="1">
        <v>45959</v>
      </c>
      <c r="C21" t="s">
        <v>21</v>
      </c>
      <c r="D21" t="s">
        <v>14</v>
      </c>
      <c r="I21">
        <v>12</v>
      </c>
      <c r="L21" t="s">
        <v>49</v>
      </c>
      <c r="P21" t="s">
        <v>33</v>
      </c>
      <c r="R21" s="6" t="s">
        <v>94</v>
      </c>
    </row>
    <row r="22" spans="1:18" ht="15.5" x14ac:dyDescent="0.35">
      <c r="A22">
        <f t="shared" si="0"/>
        <v>20</v>
      </c>
      <c r="B22" s="1">
        <v>45961</v>
      </c>
      <c r="C22" t="s">
        <v>22</v>
      </c>
      <c r="D22" t="s">
        <v>24</v>
      </c>
      <c r="I22">
        <v>13</v>
      </c>
      <c r="L22" t="s">
        <v>46</v>
      </c>
      <c r="R22" s="6" t="s">
        <v>95</v>
      </c>
    </row>
    <row r="23" spans="1:18" ht="15.5" x14ac:dyDescent="0.35">
      <c r="A23">
        <f t="shared" si="0"/>
        <v>21</v>
      </c>
      <c r="B23" s="1">
        <v>45964</v>
      </c>
      <c r="C23" t="s">
        <v>23</v>
      </c>
      <c r="D23" t="s">
        <v>16</v>
      </c>
      <c r="M23" t="s">
        <v>32</v>
      </c>
      <c r="R23" s="6" t="s">
        <v>96</v>
      </c>
    </row>
    <row r="24" spans="1:18" ht="15.5" x14ac:dyDescent="0.35">
      <c r="A24">
        <f t="shared" si="0"/>
        <v>22</v>
      </c>
      <c r="B24" s="1">
        <v>45966</v>
      </c>
      <c r="C24" t="s">
        <v>21</v>
      </c>
      <c r="D24" t="s">
        <v>15</v>
      </c>
      <c r="I24">
        <v>14</v>
      </c>
      <c r="R24" s="6" t="s">
        <v>97</v>
      </c>
    </row>
    <row r="25" spans="1:18" ht="15.5" x14ac:dyDescent="0.35">
      <c r="A25">
        <f t="shared" si="0"/>
        <v>23</v>
      </c>
      <c r="B25" s="1">
        <v>45968</v>
      </c>
      <c r="C25" t="s">
        <v>22</v>
      </c>
      <c r="D25" t="s">
        <v>17</v>
      </c>
      <c r="I25">
        <v>15</v>
      </c>
      <c r="L25" t="s">
        <v>50</v>
      </c>
      <c r="R25" s="6" t="s">
        <v>98</v>
      </c>
    </row>
    <row r="26" spans="1:18" ht="15.5" x14ac:dyDescent="0.35">
      <c r="A26">
        <f t="shared" si="0"/>
        <v>24</v>
      </c>
      <c r="B26" s="1">
        <v>45971</v>
      </c>
      <c r="C26" t="s">
        <v>23</v>
      </c>
      <c r="D26" t="s">
        <v>55</v>
      </c>
      <c r="I26">
        <v>16</v>
      </c>
      <c r="R26" s="6" t="s">
        <v>99</v>
      </c>
    </row>
    <row r="27" spans="1:18" ht="15.5" x14ac:dyDescent="0.35">
      <c r="A27">
        <f t="shared" si="0"/>
        <v>25</v>
      </c>
      <c r="B27" s="1">
        <v>45973</v>
      </c>
      <c r="C27" t="s">
        <v>21</v>
      </c>
      <c r="D27" t="s">
        <v>53</v>
      </c>
      <c r="I27">
        <v>17</v>
      </c>
      <c r="R27" s="6" t="s">
        <v>100</v>
      </c>
    </row>
    <row r="28" spans="1:18" ht="15.5" x14ac:dyDescent="0.35">
      <c r="A28">
        <f t="shared" si="0"/>
        <v>26</v>
      </c>
      <c r="B28" s="1">
        <v>45975</v>
      </c>
      <c r="C28" t="s">
        <v>22</v>
      </c>
      <c r="D28" t="s">
        <v>18</v>
      </c>
      <c r="I28">
        <v>18</v>
      </c>
      <c r="R28" s="6" t="s">
        <v>101</v>
      </c>
    </row>
    <row r="29" spans="1:18" ht="15.5" x14ac:dyDescent="0.35">
      <c r="A29">
        <f t="shared" si="0"/>
        <v>27</v>
      </c>
      <c r="B29" s="1">
        <v>45978</v>
      </c>
      <c r="C29" t="s">
        <v>23</v>
      </c>
      <c r="D29" t="s">
        <v>19</v>
      </c>
      <c r="L29" t="s">
        <v>51</v>
      </c>
      <c r="R29" s="6" t="s">
        <v>19</v>
      </c>
    </row>
    <row r="30" spans="1:18" x14ac:dyDescent="0.35">
      <c r="A30">
        <f t="shared" si="0"/>
        <v>28</v>
      </c>
      <c r="B30" s="1">
        <v>45980</v>
      </c>
      <c r="C30" t="s">
        <v>21</v>
      </c>
      <c r="D30" t="s">
        <v>20</v>
      </c>
      <c r="K30">
        <v>8</v>
      </c>
    </row>
    <row r="31" spans="1:18" x14ac:dyDescent="0.35">
      <c r="A31">
        <f t="shared" si="0"/>
        <v>29</v>
      </c>
      <c r="B31" s="1">
        <v>45982</v>
      </c>
      <c r="C31" t="s">
        <v>22</v>
      </c>
      <c r="D31" t="s">
        <v>20</v>
      </c>
    </row>
    <row r="32" spans="1:18" x14ac:dyDescent="0.35">
      <c r="A32">
        <f t="shared" si="0"/>
        <v>30</v>
      </c>
      <c r="B32" s="1">
        <v>45985</v>
      </c>
      <c r="C32" t="s">
        <v>23</v>
      </c>
      <c r="D32" t="s">
        <v>54</v>
      </c>
    </row>
    <row r="34" spans="12:12" x14ac:dyDescent="0.35">
      <c r="L34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BB40-02C0-43E2-8BDB-CBC3CC42811A}">
  <dimension ref="A1:R26"/>
  <sheetViews>
    <sheetView workbookViewId="0">
      <selection activeCell="A5" sqref="A5:A26"/>
    </sheetView>
  </sheetViews>
  <sheetFormatPr defaultRowHeight="14.5" x14ac:dyDescent="0.35"/>
  <cols>
    <col min="4" max="6" width="0" style="7" hidden="1" customWidth="1"/>
    <col min="7" max="15" width="9.1796875" style="7"/>
  </cols>
  <sheetData>
    <row r="1" spans="1:18" x14ac:dyDescent="0.35">
      <c r="A1" t="s">
        <v>115</v>
      </c>
    </row>
    <row r="3" spans="1:18" x14ac:dyDescent="0.35">
      <c r="D3" s="8">
        <v>45917</v>
      </c>
      <c r="E3" s="8">
        <v>45919</v>
      </c>
      <c r="F3" s="8">
        <v>45922</v>
      </c>
      <c r="G3" s="8">
        <v>45924</v>
      </c>
      <c r="H3" s="8">
        <v>45926</v>
      </c>
      <c r="I3" s="8">
        <v>45929</v>
      </c>
      <c r="J3" s="8">
        <v>45931</v>
      </c>
      <c r="K3" s="8">
        <v>45933</v>
      </c>
      <c r="L3" s="8">
        <v>45936</v>
      </c>
      <c r="M3" s="8">
        <v>45938</v>
      </c>
      <c r="O3" s="7" t="s">
        <v>113</v>
      </c>
    </row>
    <row r="4" spans="1:18" x14ac:dyDescent="0.35">
      <c r="A4" t="s">
        <v>117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O4" s="7">
        <f t="shared" ref="O4:O26" si="0">SUM(D4:N4)</f>
        <v>0</v>
      </c>
      <c r="P4">
        <f t="shared" ref="P4:P26" si="1">+O4+Q4</f>
        <v>0.72221393262179179</v>
      </c>
      <c r="Q4">
        <v>0.72221393262179179</v>
      </c>
      <c r="R4">
        <f ca="1">RAND()</f>
        <v>0.58835170283404148</v>
      </c>
    </row>
    <row r="5" spans="1:18" x14ac:dyDescent="0.35">
      <c r="A5" t="s">
        <v>83</v>
      </c>
      <c r="D5" s="7">
        <v>0</v>
      </c>
      <c r="E5" s="7">
        <v>0</v>
      </c>
      <c r="F5" s="7">
        <v>0</v>
      </c>
      <c r="H5" s="7">
        <v>1</v>
      </c>
      <c r="I5" s="7">
        <v>2</v>
      </c>
      <c r="J5" s="7">
        <v>2</v>
      </c>
      <c r="O5" s="7">
        <f t="shared" si="0"/>
        <v>5</v>
      </c>
      <c r="P5">
        <f t="shared" si="1"/>
        <v>5.8329078812050303</v>
      </c>
      <c r="Q5">
        <v>0.83290788120503034</v>
      </c>
      <c r="R5">
        <f t="shared" ref="R5:R26" ca="1" si="2">RAND()</f>
        <v>0.95529663881751259</v>
      </c>
    </row>
    <row r="6" spans="1:18" x14ac:dyDescent="0.35">
      <c r="A6" t="s">
        <v>102</v>
      </c>
      <c r="E6" s="7">
        <v>0</v>
      </c>
      <c r="F6" s="7">
        <v>2</v>
      </c>
      <c r="H6" s="7">
        <v>1</v>
      </c>
      <c r="I6" s="7">
        <v>1</v>
      </c>
      <c r="J6" s="7">
        <v>1</v>
      </c>
      <c r="K6" s="7">
        <v>1</v>
      </c>
      <c r="O6" s="7">
        <f t="shared" si="0"/>
        <v>6</v>
      </c>
      <c r="P6">
        <f t="shared" si="1"/>
        <v>6.9043642785212667</v>
      </c>
      <c r="Q6">
        <v>0.90436427852126633</v>
      </c>
      <c r="R6">
        <f t="shared" ca="1" si="2"/>
        <v>0.21822744691351748</v>
      </c>
    </row>
    <row r="7" spans="1:18" x14ac:dyDescent="0.35">
      <c r="A7" t="s">
        <v>72</v>
      </c>
      <c r="E7" s="7">
        <v>1</v>
      </c>
      <c r="F7" s="7">
        <v>1</v>
      </c>
      <c r="G7" s="7">
        <v>1</v>
      </c>
      <c r="H7" s="7">
        <v>1</v>
      </c>
      <c r="I7" s="7">
        <v>1</v>
      </c>
      <c r="J7" s="7">
        <v>0</v>
      </c>
      <c r="K7" s="7">
        <v>1</v>
      </c>
      <c r="O7" s="7">
        <f t="shared" si="0"/>
        <v>6</v>
      </c>
      <c r="P7">
        <f t="shared" si="1"/>
        <v>6.8702955405448387</v>
      </c>
      <c r="Q7">
        <v>0.87029554054483838</v>
      </c>
      <c r="R7">
        <f t="shared" ca="1" si="2"/>
        <v>0.30664614592997286</v>
      </c>
    </row>
    <row r="8" spans="1:18" x14ac:dyDescent="0.35">
      <c r="A8" t="s">
        <v>86</v>
      </c>
      <c r="E8" s="7">
        <v>1</v>
      </c>
      <c r="F8" s="7">
        <v>1</v>
      </c>
      <c r="G8" s="7">
        <v>0</v>
      </c>
      <c r="H8" s="7">
        <v>1</v>
      </c>
      <c r="I8" s="7">
        <v>1</v>
      </c>
      <c r="J8" s="7">
        <v>1</v>
      </c>
      <c r="K8" s="7">
        <v>1</v>
      </c>
      <c r="O8" s="7">
        <f t="shared" si="0"/>
        <v>6</v>
      </c>
      <c r="P8">
        <f t="shared" si="1"/>
        <v>6.0079310601874889</v>
      </c>
      <c r="Q8">
        <v>7.93106018748857E-3</v>
      </c>
      <c r="R8">
        <f t="shared" ca="1" si="2"/>
        <v>0.43274006995630376</v>
      </c>
    </row>
    <row r="9" spans="1:18" x14ac:dyDescent="0.35">
      <c r="A9" t="s">
        <v>67</v>
      </c>
      <c r="E9" s="7">
        <v>1</v>
      </c>
      <c r="F9" s="7">
        <v>1</v>
      </c>
      <c r="G9" s="7">
        <v>1</v>
      </c>
      <c r="H9" s="7">
        <v>1</v>
      </c>
      <c r="I9" s="7">
        <v>0</v>
      </c>
      <c r="J9" s="7">
        <v>1</v>
      </c>
      <c r="K9" s="7">
        <v>1</v>
      </c>
      <c r="O9" s="7">
        <f t="shared" si="0"/>
        <v>6</v>
      </c>
      <c r="P9">
        <f t="shared" si="1"/>
        <v>6.8577654233864367</v>
      </c>
      <c r="Q9">
        <v>0.85776542338643669</v>
      </c>
      <c r="R9">
        <f t="shared" ca="1" si="2"/>
        <v>5.8079660422083346E-2</v>
      </c>
    </row>
    <row r="10" spans="1:18" x14ac:dyDescent="0.35">
      <c r="A10" t="s">
        <v>81</v>
      </c>
      <c r="E10" s="7">
        <v>1</v>
      </c>
      <c r="F10" s="7">
        <v>2</v>
      </c>
      <c r="H10" s="7">
        <v>1</v>
      </c>
      <c r="I10" s="7">
        <v>1</v>
      </c>
      <c r="J10" s="7">
        <v>1</v>
      </c>
      <c r="K10" s="7">
        <v>1</v>
      </c>
      <c r="O10" s="7">
        <f t="shared" si="0"/>
        <v>7</v>
      </c>
      <c r="P10">
        <f t="shared" si="1"/>
        <v>7.621733711643591</v>
      </c>
      <c r="Q10">
        <v>0.62173371164359148</v>
      </c>
      <c r="R10">
        <f t="shared" ca="1" si="2"/>
        <v>0.75608566374237662</v>
      </c>
    </row>
    <row r="11" spans="1:18" x14ac:dyDescent="0.35">
      <c r="A11" t="s">
        <v>76</v>
      </c>
      <c r="D11" s="7">
        <v>1</v>
      </c>
      <c r="E11" s="7">
        <v>1</v>
      </c>
      <c r="F11" s="7">
        <v>1</v>
      </c>
      <c r="G11" s="7">
        <v>1</v>
      </c>
      <c r="I11" s="7">
        <v>2</v>
      </c>
      <c r="J11" s="7">
        <v>1</v>
      </c>
      <c r="O11" s="7">
        <f t="shared" si="0"/>
        <v>7</v>
      </c>
      <c r="P11">
        <f t="shared" si="1"/>
        <v>7.6268999556136094</v>
      </c>
      <c r="Q11">
        <v>0.62689995561360956</v>
      </c>
      <c r="R11">
        <f t="shared" ca="1" si="2"/>
        <v>0.4559170429996533</v>
      </c>
    </row>
    <row r="12" spans="1:18" x14ac:dyDescent="0.35">
      <c r="A12" t="s">
        <v>79</v>
      </c>
      <c r="E12" s="7">
        <v>1</v>
      </c>
      <c r="F12" s="7">
        <v>1</v>
      </c>
      <c r="G12" s="7">
        <v>1</v>
      </c>
      <c r="H12" s="7">
        <v>1</v>
      </c>
      <c r="I12" s="7">
        <v>1</v>
      </c>
      <c r="J12" s="7">
        <v>1</v>
      </c>
      <c r="K12" s="7">
        <v>1</v>
      </c>
      <c r="O12" s="7">
        <f t="shared" si="0"/>
        <v>7</v>
      </c>
      <c r="P12">
        <f t="shared" si="1"/>
        <v>7.0489983567253294</v>
      </c>
      <c r="Q12">
        <v>4.8998356725328929E-2</v>
      </c>
      <c r="R12">
        <f t="shared" ca="1" si="2"/>
        <v>0.8382022698600502</v>
      </c>
    </row>
    <row r="13" spans="1:18" x14ac:dyDescent="0.35">
      <c r="A13" t="s">
        <v>84</v>
      </c>
      <c r="E13" s="7">
        <v>1</v>
      </c>
      <c r="F13" s="7">
        <v>1</v>
      </c>
      <c r="G13" s="7">
        <v>1</v>
      </c>
      <c r="H13" s="7">
        <v>1</v>
      </c>
      <c r="I13" s="7">
        <v>1</v>
      </c>
      <c r="J13" s="7">
        <v>1</v>
      </c>
      <c r="K13" s="7">
        <v>1</v>
      </c>
      <c r="O13" s="7">
        <f t="shared" si="0"/>
        <v>7</v>
      </c>
      <c r="P13">
        <f t="shared" si="1"/>
        <v>7.8313661612602754</v>
      </c>
      <c r="Q13">
        <v>0.83136616126027529</v>
      </c>
      <c r="R13">
        <f t="shared" ca="1" si="2"/>
        <v>0.75852213695740223</v>
      </c>
    </row>
    <row r="14" spans="1:18" x14ac:dyDescent="0.35">
      <c r="A14" t="s">
        <v>70</v>
      </c>
      <c r="E14" s="7">
        <v>1</v>
      </c>
      <c r="F14" s="7">
        <v>2</v>
      </c>
      <c r="H14" s="7">
        <v>1</v>
      </c>
      <c r="I14" s="7">
        <v>1</v>
      </c>
      <c r="J14" s="7">
        <v>1</v>
      </c>
      <c r="K14" s="7">
        <v>1</v>
      </c>
      <c r="O14" s="7">
        <f t="shared" si="0"/>
        <v>7</v>
      </c>
      <c r="P14">
        <f t="shared" si="1"/>
        <v>7.9200173242087688</v>
      </c>
      <c r="Q14">
        <v>0.92001732420876892</v>
      </c>
      <c r="R14">
        <f t="shared" ca="1" si="2"/>
        <v>7.6179648596296556E-2</v>
      </c>
    </row>
    <row r="15" spans="1:18" x14ac:dyDescent="0.35">
      <c r="A15" t="s">
        <v>77</v>
      </c>
      <c r="D15" s="7">
        <v>1</v>
      </c>
      <c r="E15" s="7">
        <v>1</v>
      </c>
      <c r="F15" s="7">
        <v>1</v>
      </c>
      <c r="G15" s="7">
        <v>1</v>
      </c>
      <c r="H15" s="7">
        <v>1</v>
      </c>
      <c r="I15" s="7">
        <v>1</v>
      </c>
      <c r="J15" s="7">
        <v>1</v>
      </c>
      <c r="O15" s="7">
        <f t="shared" si="0"/>
        <v>7</v>
      </c>
      <c r="P15">
        <f t="shared" si="1"/>
        <v>7.8067459992504915</v>
      </c>
      <c r="Q15">
        <v>0.80674599925049129</v>
      </c>
      <c r="R15">
        <f t="shared" ca="1" si="2"/>
        <v>0.34701784474657771</v>
      </c>
    </row>
    <row r="16" spans="1:18" x14ac:dyDescent="0.35">
      <c r="A16" t="s">
        <v>78</v>
      </c>
      <c r="D16" s="7">
        <v>1</v>
      </c>
      <c r="E16" s="7">
        <v>1</v>
      </c>
      <c r="F16" s="7">
        <v>1</v>
      </c>
      <c r="G16" s="7">
        <v>1</v>
      </c>
      <c r="H16" s="7">
        <v>1</v>
      </c>
      <c r="I16" s="7">
        <v>1</v>
      </c>
      <c r="J16" s="7">
        <v>1</v>
      </c>
      <c r="O16" s="7">
        <f t="shared" si="0"/>
        <v>7</v>
      </c>
      <c r="P16">
        <f t="shared" si="1"/>
        <v>7.4438240647133886</v>
      </c>
      <c r="Q16">
        <v>0.44382406471338887</v>
      </c>
      <c r="R16">
        <f t="shared" ca="1" si="2"/>
        <v>0.88335867945494218</v>
      </c>
    </row>
    <row r="17" spans="1:18" x14ac:dyDescent="0.35">
      <c r="A17" t="s">
        <v>71</v>
      </c>
      <c r="E17" s="7">
        <v>1</v>
      </c>
      <c r="F17" s="7">
        <v>1</v>
      </c>
      <c r="G17" s="7">
        <v>1</v>
      </c>
      <c r="H17" s="7">
        <v>1</v>
      </c>
      <c r="I17" s="7">
        <v>1</v>
      </c>
      <c r="J17" s="7">
        <v>1</v>
      </c>
      <c r="K17" s="7">
        <v>1</v>
      </c>
      <c r="O17" s="7">
        <f t="shared" si="0"/>
        <v>7</v>
      </c>
      <c r="P17">
        <f t="shared" si="1"/>
        <v>7.9048819082491413</v>
      </c>
      <c r="Q17">
        <v>0.90488190824914161</v>
      </c>
      <c r="R17">
        <f t="shared" ca="1" si="2"/>
        <v>0.67483488403101488</v>
      </c>
    </row>
    <row r="18" spans="1:18" x14ac:dyDescent="0.35">
      <c r="A18" t="s">
        <v>74</v>
      </c>
      <c r="D18" s="7">
        <v>1</v>
      </c>
      <c r="E18" s="7">
        <v>1</v>
      </c>
      <c r="F18" s="7">
        <v>1</v>
      </c>
      <c r="H18" s="7">
        <v>1</v>
      </c>
      <c r="I18" s="7">
        <v>1</v>
      </c>
      <c r="J18" s="7">
        <v>1</v>
      </c>
      <c r="K18" s="7">
        <v>1</v>
      </c>
      <c r="O18" s="7">
        <f t="shared" si="0"/>
        <v>7</v>
      </c>
      <c r="P18">
        <f t="shared" si="1"/>
        <v>7.4723993638378579</v>
      </c>
      <c r="Q18">
        <v>0.47239936383785752</v>
      </c>
      <c r="R18">
        <f t="shared" ca="1" si="2"/>
        <v>0.80691722399521681</v>
      </c>
    </row>
    <row r="19" spans="1:18" x14ac:dyDescent="0.35">
      <c r="A19" t="s">
        <v>68</v>
      </c>
      <c r="E19" s="7">
        <v>1</v>
      </c>
      <c r="F19" s="7">
        <v>1</v>
      </c>
      <c r="G19" s="7">
        <v>1</v>
      </c>
      <c r="H19" s="7">
        <v>1</v>
      </c>
      <c r="I19" s="7">
        <v>1</v>
      </c>
      <c r="J19" s="7">
        <v>1</v>
      </c>
      <c r="K19" s="7">
        <v>1</v>
      </c>
      <c r="O19" s="7">
        <f t="shared" si="0"/>
        <v>7</v>
      </c>
      <c r="P19">
        <f t="shared" si="1"/>
        <v>7.4451875777973475</v>
      </c>
      <c r="Q19">
        <v>0.44518757779734752</v>
      </c>
      <c r="R19">
        <f t="shared" ca="1" si="2"/>
        <v>0.875180422081001</v>
      </c>
    </row>
    <row r="20" spans="1:18" x14ac:dyDescent="0.35">
      <c r="A20" t="s">
        <v>75</v>
      </c>
      <c r="E20" s="7">
        <v>1</v>
      </c>
      <c r="F20" s="7">
        <v>1</v>
      </c>
      <c r="G20" s="7">
        <v>1</v>
      </c>
      <c r="H20" s="7">
        <v>1</v>
      </c>
      <c r="I20" s="7">
        <v>1</v>
      </c>
      <c r="J20" s="7">
        <v>1</v>
      </c>
      <c r="K20" s="7">
        <v>1</v>
      </c>
      <c r="O20" s="7">
        <f t="shared" si="0"/>
        <v>7</v>
      </c>
      <c r="P20">
        <f t="shared" si="1"/>
        <v>7.8760213478763745</v>
      </c>
      <c r="Q20">
        <v>0.87602134787637453</v>
      </c>
      <c r="R20">
        <f t="shared" ca="1" si="2"/>
        <v>0.25279714307038204</v>
      </c>
    </row>
    <row r="21" spans="1:18" x14ac:dyDescent="0.35">
      <c r="A21" t="s">
        <v>85</v>
      </c>
      <c r="D21" s="7">
        <v>1</v>
      </c>
      <c r="E21" s="7">
        <v>1</v>
      </c>
      <c r="F21" s="7">
        <v>1</v>
      </c>
      <c r="G21" s="7">
        <v>1</v>
      </c>
      <c r="H21" s="7">
        <v>0</v>
      </c>
      <c r="I21" s="7">
        <v>1</v>
      </c>
      <c r="J21" s="7">
        <v>1</v>
      </c>
      <c r="K21" s="7">
        <v>1</v>
      </c>
      <c r="O21" s="7">
        <f t="shared" si="0"/>
        <v>7</v>
      </c>
      <c r="P21">
        <f t="shared" si="1"/>
        <v>7.1427902018677703</v>
      </c>
      <c r="Q21">
        <v>0.14279020186776981</v>
      </c>
      <c r="R21">
        <f t="shared" ca="1" si="2"/>
        <v>0.30471487842468259</v>
      </c>
    </row>
    <row r="22" spans="1:18" x14ac:dyDescent="0.35">
      <c r="A22" t="s">
        <v>82</v>
      </c>
      <c r="E22" s="7">
        <v>2</v>
      </c>
      <c r="F22" s="7">
        <v>1</v>
      </c>
      <c r="G22" s="7">
        <v>1</v>
      </c>
      <c r="H22" s="7">
        <v>1</v>
      </c>
      <c r="I22" s="7">
        <v>1</v>
      </c>
      <c r="J22" s="7">
        <v>1</v>
      </c>
      <c r="O22" s="7">
        <f t="shared" si="0"/>
        <v>7</v>
      </c>
      <c r="P22">
        <f t="shared" si="1"/>
        <v>7.9390341712515529</v>
      </c>
      <c r="Q22">
        <v>0.93903417125155308</v>
      </c>
      <c r="R22">
        <f t="shared" ca="1" si="2"/>
        <v>0.88628446928795268</v>
      </c>
    </row>
    <row r="23" spans="1:18" x14ac:dyDescent="0.35">
      <c r="A23" t="s">
        <v>80</v>
      </c>
      <c r="E23" s="7">
        <v>1</v>
      </c>
      <c r="F23" s="7">
        <v>1</v>
      </c>
      <c r="G23" s="7">
        <v>1</v>
      </c>
      <c r="H23" s="7">
        <v>1</v>
      </c>
      <c r="I23" s="7">
        <v>1</v>
      </c>
      <c r="J23" s="7">
        <v>1</v>
      </c>
      <c r="K23" s="7">
        <v>1</v>
      </c>
      <c r="O23" s="7">
        <f t="shared" si="0"/>
        <v>7</v>
      </c>
      <c r="P23">
        <f t="shared" si="1"/>
        <v>7.0773626583552707</v>
      </c>
      <c r="Q23">
        <v>7.7362658355270564E-2</v>
      </c>
      <c r="R23">
        <f t="shared" ca="1" si="2"/>
        <v>0.86969395836543362</v>
      </c>
    </row>
    <row r="24" spans="1:18" x14ac:dyDescent="0.35">
      <c r="A24" t="s">
        <v>87</v>
      </c>
      <c r="E24" s="7">
        <v>1</v>
      </c>
      <c r="F24" s="7">
        <v>1</v>
      </c>
      <c r="G24" s="7">
        <v>1</v>
      </c>
      <c r="H24" s="7">
        <v>1</v>
      </c>
      <c r="I24" s="7">
        <v>1</v>
      </c>
      <c r="J24" s="7">
        <v>1</v>
      </c>
      <c r="K24" s="7">
        <v>1</v>
      </c>
      <c r="O24" s="7">
        <f t="shared" si="0"/>
        <v>7</v>
      </c>
      <c r="P24">
        <f t="shared" si="1"/>
        <v>7.6140997309062994</v>
      </c>
      <c r="Q24">
        <v>0.61409973090629932</v>
      </c>
      <c r="R24">
        <f t="shared" ca="1" si="2"/>
        <v>0.28218091540596546</v>
      </c>
    </row>
    <row r="25" spans="1:18" x14ac:dyDescent="0.35">
      <c r="A25" t="s">
        <v>69</v>
      </c>
      <c r="D25" s="7">
        <v>1</v>
      </c>
      <c r="E25" s="7">
        <v>1</v>
      </c>
      <c r="F25" s="7">
        <v>1</v>
      </c>
      <c r="G25" s="7">
        <v>1</v>
      </c>
      <c r="H25" s="7">
        <v>1</v>
      </c>
      <c r="I25" s="7">
        <v>1</v>
      </c>
      <c r="J25" s="7">
        <v>1</v>
      </c>
      <c r="K25" s="7">
        <v>1</v>
      </c>
      <c r="O25" s="7">
        <f t="shared" si="0"/>
        <v>8</v>
      </c>
      <c r="P25">
        <f t="shared" si="1"/>
        <v>8.8921403395215801</v>
      </c>
      <c r="Q25">
        <v>0.89214033952158078</v>
      </c>
      <c r="R25">
        <f t="shared" ca="1" si="2"/>
        <v>0.34642012879974038</v>
      </c>
    </row>
    <row r="26" spans="1:18" x14ac:dyDescent="0.35">
      <c r="A26" t="s">
        <v>73</v>
      </c>
      <c r="D26" s="7">
        <v>1</v>
      </c>
      <c r="E26" s="7">
        <v>1</v>
      </c>
      <c r="F26" s="7">
        <v>1</v>
      </c>
      <c r="G26" s="7">
        <v>1</v>
      </c>
      <c r="H26" s="7">
        <v>1</v>
      </c>
      <c r="I26" s="7">
        <v>1</v>
      </c>
      <c r="J26" s="7">
        <v>1</v>
      </c>
      <c r="K26" s="7">
        <v>1</v>
      </c>
      <c r="O26" s="7">
        <f t="shared" si="0"/>
        <v>8</v>
      </c>
      <c r="P26">
        <f t="shared" si="1"/>
        <v>8.4981201099762771</v>
      </c>
      <c r="Q26">
        <v>0.49812010997627654</v>
      </c>
      <c r="R26">
        <f t="shared" ca="1" si="2"/>
        <v>0.90719309509774981</v>
      </c>
    </row>
  </sheetData>
  <sortState xmlns:xlrd2="http://schemas.microsoft.com/office/spreadsheetml/2017/richdata2" ref="A4:P26">
    <sortCondition ref="P4:P26"/>
  </sortState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13F42-4814-4C3E-BE5C-AB8A695C0769}">
  <dimension ref="B2:J25"/>
  <sheetViews>
    <sheetView tabSelected="1" workbookViewId="0">
      <selection activeCell="J12" sqref="J12"/>
    </sheetView>
  </sheetViews>
  <sheetFormatPr defaultRowHeight="14.5" x14ac:dyDescent="0.35"/>
  <sheetData>
    <row r="2" spans="2:10" x14ac:dyDescent="0.35">
      <c r="B2" t="s">
        <v>6</v>
      </c>
    </row>
    <row r="4" spans="2:10" x14ac:dyDescent="0.35">
      <c r="B4" t="s">
        <v>83</v>
      </c>
      <c r="E4" t="s">
        <v>118</v>
      </c>
      <c r="G4" t="s">
        <v>116</v>
      </c>
    </row>
    <row r="5" spans="2:10" x14ac:dyDescent="0.35">
      <c r="B5" t="s">
        <v>102</v>
      </c>
      <c r="E5" t="s">
        <v>118</v>
      </c>
      <c r="G5" t="s">
        <v>106</v>
      </c>
      <c r="J5" t="s">
        <v>118</v>
      </c>
    </row>
    <row r="6" spans="2:10" x14ac:dyDescent="0.35">
      <c r="B6" t="s">
        <v>72</v>
      </c>
      <c r="E6" t="s">
        <v>118</v>
      </c>
      <c r="G6" t="s">
        <v>112</v>
      </c>
      <c r="J6" t="s">
        <v>118</v>
      </c>
    </row>
    <row r="7" spans="2:10" x14ac:dyDescent="0.35">
      <c r="B7" t="s">
        <v>86</v>
      </c>
      <c r="E7" t="s">
        <v>118</v>
      </c>
      <c r="G7" t="s">
        <v>105</v>
      </c>
      <c r="J7" t="s">
        <v>118</v>
      </c>
    </row>
    <row r="8" spans="2:10" x14ac:dyDescent="0.35">
      <c r="B8" t="s">
        <v>67</v>
      </c>
      <c r="G8" t="s">
        <v>104</v>
      </c>
    </row>
    <row r="9" spans="2:10" x14ac:dyDescent="0.35">
      <c r="B9" t="s">
        <v>81</v>
      </c>
      <c r="E9" t="s">
        <v>118</v>
      </c>
      <c r="G9" t="s">
        <v>103</v>
      </c>
    </row>
    <row r="10" spans="2:10" x14ac:dyDescent="0.35">
      <c r="B10" t="s">
        <v>76</v>
      </c>
      <c r="E10" t="s">
        <v>118</v>
      </c>
      <c r="G10" t="s">
        <v>110</v>
      </c>
    </row>
    <row r="11" spans="2:10" x14ac:dyDescent="0.35">
      <c r="B11" t="s">
        <v>79</v>
      </c>
      <c r="G11" t="s">
        <v>111</v>
      </c>
      <c r="J11" t="s">
        <v>118</v>
      </c>
    </row>
    <row r="12" spans="2:10" x14ac:dyDescent="0.35">
      <c r="B12" t="s">
        <v>84</v>
      </c>
      <c r="G12" t="s">
        <v>107</v>
      </c>
      <c r="J12" t="s">
        <v>118</v>
      </c>
    </row>
    <row r="13" spans="2:10" x14ac:dyDescent="0.35">
      <c r="B13" t="s">
        <v>70</v>
      </c>
      <c r="E13" t="s">
        <v>118</v>
      </c>
      <c r="G13" t="s">
        <v>108</v>
      </c>
      <c r="J13" t="s">
        <v>118</v>
      </c>
    </row>
    <row r="14" spans="2:10" x14ac:dyDescent="0.35">
      <c r="B14" t="s">
        <v>77</v>
      </c>
      <c r="G14" t="s">
        <v>109</v>
      </c>
    </row>
    <row r="15" spans="2:10" x14ac:dyDescent="0.35">
      <c r="B15" t="s">
        <v>78</v>
      </c>
    </row>
    <row r="16" spans="2:10" x14ac:dyDescent="0.35">
      <c r="B16" t="s">
        <v>71</v>
      </c>
    </row>
    <row r="17" spans="2:5" x14ac:dyDescent="0.35">
      <c r="B17" t="s">
        <v>74</v>
      </c>
    </row>
    <row r="18" spans="2:5" x14ac:dyDescent="0.35">
      <c r="B18" t="s">
        <v>68</v>
      </c>
      <c r="E18" t="s">
        <v>118</v>
      </c>
    </row>
    <row r="19" spans="2:5" x14ac:dyDescent="0.35">
      <c r="B19" t="s">
        <v>75</v>
      </c>
      <c r="E19" t="s">
        <v>118</v>
      </c>
    </row>
    <row r="20" spans="2:5" x14ac:dyDescent="0.35">
      <c r="B20" t="s">
        <v>85</v>
      </c>
      <c r="E20" t="s">
        <v>118</v>
      </c>
    </row>
    <row r="21" spans="2:5" x14ac:dyDescent="0.35">
      <c r="B21" t="s">
        <v>82</v>
      </c>
      <c r="E21" t="s">
        <v>118</v>
      </c>
    </row>
    <row r="22" spans="2:5" x14ac:dyDescent="0.35">
      <c r="B22" t="s">
        <v>80</v>
      </c>
    </row>
    <row r="23" spans="2:5" x14ac:dyDescent="0.35">
      <c r="B23" t="s">
        <v>87</v>
      </c>
    </row>
    <row r="24" spans="2:5" x14ac:dyDescent="0.35">
      <c r="B24" t="s">
        <v>69</v>
      </c>
    </row>
    <row r="25" spans="2:5" x14ac:dyDescent="0.35">
      <c r="B25" t="s">
        <v>73</v>
      </c>
      <c r="E25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82B56-FD35-466F-AE58-B66197F08AC5}">
  <dimension ref="A1:R14"/>
  <sheetViews>
    <sheetView workbookViewId="0">
      <selection activeCell="A4" sqref="A4:A14"/>
    </sheetView>
  </sheetViews>
  <sheetFormatPr defaultRowHeight="14.5" x14ac:dyDescent="0.35"/>
  <cols>
    <col min="4" max="6" width="0" style="7" hidden="1" customWidth="1"/>
    <col min="7" max="15" width="9.1796875" style="7"/>
  </cols>
  <sheetData>
    <row r="1" spans="1:18" x14ac:dyDescent="0.35">
      <c r="A1" t="s">
        <v>114</v>
      </c>
    </row>
    <row r="3" spans="1:18" x14ac:dyDescent="0.35">
      <c r="D3" s="8">
        <v>45917</v>
      </c>
      <c r="E3" s="8">
        <v>45919</v>
      </c>
      <c r="F3" s="8">
        <v>45922</v>
      </c>
      <c r="G3" s="8">
        <v>45924</v>
      </c>
      <c r="H3" s="8">
        <v>45926</v>
      </c>
      <c r="I3" s="8">
        <v>45929</v>
      </c>
      <c r="J3" s="8">
        <v>45931</v>
      </c>
      <c r="K3" s="8">
        <v>45933</v>
      </c>
      <c r="L3" s="8">
        <v>45936</v>
      </c>
      <c r="M3" s="8">
        <v>45938</v>
      </c>
      <c r="O3" s="7" t="s">
        <v>113</v>
      </c>
    </row>
    <row r="4" spans="1:18" x14ac:dyDescent="0.35">
      <c r="A4" t="s">
        <v>116</v>
      </c>
      <c r="G4" s="7">
        <v>1</v>
      </c>
      <c r="H4" s="7">
        <v>2</v>
      </c>
      <c r="I4" s="7">
        <v>2</v>
      </c>
      <c r="J4" s="7">
        <v>0</v>
      </c>
      <c r="K4" s="7">
        <v>2</v>
      </c>
      <c r="O4" s="7">
        <f t="shared" ref="O4:O14" si="0">SUM(D4:N4)</f>
        <v>7</v>
      </c>
      <c r="P4">
        <f t="shared" ref="P4:P14" si="1">+O4+Q4</f>
        <v>7.7720446459510466</v>
      </c>
      <c r="Q4">
        <v>0.7720446459510466</v>
      </c>
      <c r="R4">
        <f t="shared" ref="R4:R14" ca="1" si="2">RAND()</f>
        <v>0.78531509879025574</v>
      </c>
    </row>
    <row r="5" spans="1:18" x14ac:dyDescent="0.35">
      <c r="A5" t="s">
        <v>106</v>
      </c>
      <c r="E5" s="7">
        <v>2</v>
      </c>
      <c r="F5" s="7">
        <v>2</v>
      </c>
      <c r="G5" s="7">
        <v>2</v>
      </c>
      <c r="H5" s="7">
        <v>0</v>
      </c>
      <c r="I5" s="7">
        <v>2</v>
      </c>
      <c r="J5" s="7">
        <v>0</v>
      </c>
      <c r="K5" s="7">
        <v>2</v>
      </c>
      <c r="O5" s="7">
        <f t="shared" si="0"/>
        <v>10</v>
      </c>
      <c r="P5">
        <f t="shared" si="1"/>
        <v>10.024072558977505</v>
      </c>
      <c r="Q5">
        <v>2.4072558977504155E-2</v>
      </c>
      <c r="R5">
        <f t="shared" ca="1" si="2"/>
        <v>0.51907985030063908</v>
      </c>
    </row>
    <row r="6" spans="1:18" x14ac:dyDescent="0.35">
      <c r="A6" t="s">
        <v>112</v>
      </c>
      <c r="E6" s="7">
        <v>2</v>
      </c>
      <c r="F6" s="7">
        <v>2</v>
      </c>
      <c r="G6" s="7">
        <v>2</v>
      </c>
      <c r="H6" s="7">
        <v>2</v>
      </c>
      <c r="I6" s="7">
        <v>1</v>
      </c>
      <c r="J6" s="7">
        <v>2</v>
      </c>
      <c r="K6" s="7">
        <v>1</v>
      </c>
      <c r="O6" s="7">
        <f t="shared" si="0"/>
        <v>12</v>
      </c>
      <c r="P6">
        <f t="shared" si="1"/>
        <v>12.862016713215729</v>
      </c>
      <c r="Q6">
        <v>0.86201671321572948</v>
      </c>
      <c r="R6">
        <f t="shared" ca="1" si="2"/>
        <v>0.94669132614773266</v>
      </c>
    </row>
    <row r="7" spans="1:18" x14ac:dyDescent="0.35">
      <c r="A7" t="s">
        <v>105</v>
      </c>
      <c r="D7" s="7">
        <v>1</v>
      </c>
      <c r="E7" s="7">
        <v>2</v>
      </c>
      <c r="F7" s="7">
        <v>2</v>
      </c>
      <c r="G7" s="7">
        <v>1</v>
      </c>
      <c r="H7" s="7">
        <v>1</v>
      </c>
      <c r="I7" s="7">
        <v>2</v>
      </c>
      <c r="J7" s="7">
        <v>2</v>
      </c>
      <c r="K7" s="7">
        <v>1</v>
      </c>
      <c r="O7" s="7">
        <f t="shared" si="0"/>
        <v>12</v>
      </c>
      <c r="P7">
        <f t="shared" si="1"/>
        <v>12.05142561182188</v>
      </c>
      <c r="Q7">
        <v>5.1425611821879769E-2</v>
      </c>
      <c r="R7">
        <f t="shared" ca="1" si="2"/>
        <v>0.46904604748611511</v>
      </c>
    </row>
    <row r="8" spans="1:18" x14ac:dyDescent="0.35">
      <c r="A8" t="s">
        <v>104</v>
      </c>
      <c r="D8" s="7">
        <v>1</v>
      </c>
      <c r="E8" s="7">
        <v>2</v>
      </c>
      <c r="F8" s="7">
        <v>2</v>
      </c>
      <c r="G8" s="7">
        <v>1</v>
      </c>
      <c r="H8" s="7">
        <v>1</v>
      </c>
      <c r="I8" s="7">
        <v>2</v>
      </c>
      <c r="J8" s="7">
        <v>2</v>
      </c>
      <c r="K8" s="7">
        <v>1</v>
      </c>
      <c r="O8" s="7">
        <f t="shared" si="0"/>
        <v>12</v>
      </c>
      <c r="P8">
        <f t="shared" si="1"/>
        <v>12.43926158338687</v>
      </c>
      <c r="Q8">
        <v>0.43926158338686982</v>
      </c>
      <c r="R8">
        <f t="shared" ca="1" si="2"/>
        <v>0.11420507129452806</v>
      </c>
    </row>
    <row r="9" spans="1:18" x14ac:dyDescent="0.35">
      <c r="A9" t="s">
        <v>103</v>
      </c>
      <c r="D9" s="7">
        <v>1</v>
      </c>
      <c r="E9" s="7">
        <v>2</v>
      </c>
      <c r="F9" s="7">
        <v>1</v>
      </c>
      <c r="G9" s="7">
        <v>2</v>
      </c>
      <c r="H9" s="7">
        <v>1</v>
      </c>
      <c r="I9" s="7">
        <v>2</v>
      </c>
      <c r="J9" s="7">
        <v>2</v>
      </c>
      <c r="K9" s="7">
        <v>1</v>
      </c>
      <c r="O9" s="7">
        <f t="shared" si="0"/>
        <v>12</v>
      </c>
      <c r="P9">
        <f t="shared" si="1"/>
        <v>12.043355444564481</v>
      </c>
      <c r="Q9">
        <v>4.3355444564480705E-2</v>
      </c>
      <c r="R9">
        <f t="shared" ca="1" si="2"/>
        <v>0.34199403314445187</v>
      </c>
    </row>
    <row r="10" spans="1:18" x14ac:dyDescent="0.35">
      <c r="A10" t="s">
        <v>110</v>
      </c>
      <c r="E10" s="7">
        <v>2</v>
      </c>
      <c r="F10" s="7">
        <v>2</v>
      </c>
      <c r="G10" s="7">
        <v>2</v>
      </c>
      <c r="H10" s="7">
        <v>2</v>
      </c>
      <c r="I10" s="7">
        <v>1</v>
      </c>
      <c r="J10" s="7">
        <v>2</v>
      </c>
      <c r="K10" s="7">
        <v>1</v>
      </c>
      <c r="O10" s="7">
        <f t="shared" si="0"/>
        <v>12</v>
      </c>
      <c r="P10">
        <f t="shared" si="1"/>
        <v>12.419033337521178</v>
      </c>
      <c r="Q10">
        <v>0.41903333752117844</v>
      </c>
      <c r="R10">
        <f t="shared" ca="1" si="2"/>
        <v>0.2629156393151455</v>
      </c>
    </row>
    <row r="11" spans="1:18" x14ac:dyDescent="0.35">
      <c r="A11" t="s">
        <v>111</v>
      </c>
      <c r="D11" s="7">
        <v>1</v>
      </c>
      <c r="E11" s="7">
        <v>2</v>
      </c>
      <c r="F11" s="7">
        <v>2</v>
      </c>
      <c r="G11" s="7">
        <v>1</v>
      </c>
      <c r="H11" s="7">
        <v>2</v>
      </c>
      <c r="I11" s="7">
        <v>1</v>
      </c>
      <c r="J11" s="7">
        <v>2</v>
      </c>
      <c r="K11" s="7">
        <v>1</v>
      </c>
      <c r="O11" s="7">
        <f t="shared" si="0"/>
        <v>12</v>
      </c>
      <c r="P11">
        <f t="shared" si="1"/>
        <v>12.003271780649708</v>
      </c>
      <c r="Q11">
        <v>3.2717806497076785E-3</v>
      </c>
      <c r="R11">
        <f t="shared" ca="1" si="2"/>
        <v>0.54632086222947795</v>
      </c>
    </row>
    <row r="12" spans="1:18" x14ac:dyDescent="0.35">
      <c r="A12" t="s">
        <v>107</v>
      </c>
      <c r="D12" s="7">
        <v>1</v>
      </c>
      <c r="E12" s="7">
        <v>2</v>
      </c>
      <c r="F12" s="7">
        <v>2</v>
      </c>
      <c r="G12" s="7">
        <v>1</v>
      </c>
      <c r="H12" s="7">
        <v>2</v>
      </c>
      <c r="I12" s="7">
        <v>2</v>
      </c>
      <c r="J12" s="7">
        <v>2</v>
      </c>
      <c r="K12" s="7">
        <v>1</v>
      </c>
      <c r="O12" s="7">
        <f t="shared" si="0"/>
        <v>13</v>
      </c>
      <c r="P12">
        <f t="shared" si="1"/>
        <v>13.747842373244961</v>
      </c>
      <c r="Q12">
        <v>0.74784237324495983</v>
      </c>
      <c r="R12">
        <f t="shared" ca="1" si="2"/>
        <v>0.76079397012688177</v>
      </c>
    </row>
    <row r="13" spans="1:18" x14ac:dyDescent="0.35">
      <c r="A13" t="s">
        <v>108</v>
      </c>
      <c r="E13" s="7">
        <v>1</v>
      </c>
      <c r="F13" s="7">
        <v>2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O13" s="7">
        <f t="shared" si="0"/>
        <v>13</v>
      </c>
      <c r="P13">
        <f t="shared" si="1"/>
        <v>13.600844403005549</v>
      </c>
      <c r="Q13">
        <v>0.60084440300554909</v>
      </c>
      <c r="R13">
        <f t="shared" ca="1" si="2"/>
        <v>0.85510649035905728</v>
      </c>
    </row>
    <row r="14" spans="1:18" x14ac:dyDescent="0.35">
      <c r="A14" t="s">
        <v>109</v>
      </c>
      <c r="D14" s="7">
        <v>1</v>
      </c>
      <c r="E14" s="7">
        <v>2</v>
      </c>
      <c r="F14" s="7">
        <v>2</v>
      </c>
      <c r="G14" s="7">
        <v>1</v>
      </c>
      <c r="H14" s="7">
        <v>2</v>
      </c>
      <c r="I14" s="7">
        <v>1</v>
      </c>
      <c r="J14" s="7">
        <v>2</v>
      </c>
      <c r="K14" s="7">
        <v>2</v>
      </c>
      <c r="O14" s="7">
        <f t="shared" si="0"/>
        <v>13</v>
      </c>
      <c r="P14">
        <f t="shared" si="1"/>
        <v>13.003733872071759</v>
      </c>
      <c r="Q14">
        <v>3.7338720717600138E-3</v>
      </c>
      <c r="R14">
        <f t="shared" ca="1" si="2"/>
        <v>0.71256525264971804</v>
      </c>
    </row>
  </sheetData>
  <sortState xmlns:xlrd2="http://schemas.microsoft.com/office/spreadsheetml/2017/richdata2" ref="A4:P14">
    <sortCondition ref="P4:P14"/>
  </sortState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Syllabus</vt:lpstr>
      <vt:lpstr>Sec20</vt:lpstr>
      <vt:lpstr>Sheet1</vt:lpstr>
      <vt:lpstr>Sec21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Reber</dc:creator>
  <cp:lastModifiedBy>Paul J Reber</cp:lastModifiedBy>
  <cp:lastPrinted>2025-10-06T13:23:08Z</cp:lastPrinted>
  <dcterms:created xsi:type="dcterms:W3CDTF">2025-07-27T17:07:07Z</dcterms:created>
  <dcterms:modified xsi:type="dcterms:W3CDTF">2025-10-10T19:02:38Z</dcterms:modified>
</cp:coreProperties>
</file>